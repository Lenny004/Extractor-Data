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sktop\Desktop\ARCHIVOS DE APOYO\UFG\CICLO 1-2026\Desarrollo de Liderazgo Emprendimiento e Innovación\UNIDAD 3\"/>
    </mc:Choice>
  </mc:AlternateContent>
  <xr:revisionPtr revIDLastSave="0" documentId="13_ncr:1_{4C163FFF-4F55-4BE8-9FE9-B614769358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2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4" l="1"/>
  <c r="H27" i="4"/>
  <c r="H26" i="4"/>
  <c r="H25" i="4"/>
  <c r="H23" i="4"/>
  <c r="H22" i="4"/>
  <c r="C27" i="4"/>
  <c r="C26" i="4"/>
  <c r="C25" i="4"/>
  <c r="C24" i="4"/>
  <c r="C23" i="4"/>
  <c r="F20" i="4"/>
  <c r="D20" i="4"/>
  <c r="E3" i="4"/>
  <c r="D3" i="4"/>
  <c r="E8" i="4"/>
  <c r="E10" i="4"/>
  <c r="E14" i="4"/>
  <c r="E15" i="4"/>
  <c r="E16" i="4"/>
  <c r="E17" i="4"/>
  <c r="E18" i="4"/>
  <c r="D4" i="4"/>
  <c r="E4" i="4" s="1"/>
  <c r="D5" i="4"/>
  <c r="E5" i="4" s="1"/>
  <c r="D6" i="4"/>
  <c r="E6" i="4" s="1"/>
  <c r="D7" i="4"/>
  <c r="E7" i="4" s="1"/>
  <c r="D8" i="4"/>
  <c r="D9" i="4"/>
  <c r="E9" i="4" s="1"/>
  <c r="D10" i="4"/>
  <c r="D11" i="4"/>
  <c r="E11" i="4" s="1"/>
  <c r="D12" i="4"/>
  <c r="E12" i="4" s="1"/>
  <c r="D13" i="4"/>
  <c r="D14" i="4"/>
  <c r="D15" i="4"/>
  <c r="D16" i="4"/>
  <c r="F16" i="4" s="1"/>
  <c r="D17" i="4"/>
  <c r="D18" i="4"/>
  <c r="E13" i="4" l="1"/>
  <c r="F13" i="4" s="1"/>
  <c r="F10" i="4"/>
  <c r="F9" i="4"/>
  <c r="F8" i="4"/>
  <c r="F11" i="4"/>
  <c r="F7" i="4"/>
  <c r="F6" i="4"/>
  <c r="F18" i="4"/>
  <c r="F17" i="4"/>
  <c r="F15" i="4"/>
  <c r="F14" i="4"/>
  <c r="F12" i="4"/>
  <c r="F5" i="4"/>
  <c r="F4" i="4"/>
  <c r="F3" i="4"/>
  <c r="D19" i="4"/>
  <c r="E19" i="4" l="1"/>
  <c r="F19" i="4" s="1"/>
</calcChain>
</file>

<file path=xl/sharedStrings.xml><?xml version="1.0" encoding="utf-8"?>
<sst xmlns="http://schemas.openxmlformats.org/spreadsheetml/2006/main" count="36" uniqueCount="36">
  <si>
    <t>Producto</t>
  </si>
  <si>
    <t>Precio de Venta Unitario</t>
  </si>
  <si>
    <t>Unidades proyectadas a vender para cubrir gastos</t>
  </si>
  <si>
    <t>Cortinas de ventanas de 2 metros</t>
  </si>
  <si>
    <t>Sillas secretariales ergonómicas</t>
  </si>
  <si>
    <t>Escritorios 1.20 x 0.80 cm de tres gavetas</t>
  </si>
  <si>
    <t>Archivero de cinco gavetas</t>
  </si>
  <si>
    <t>Ventiladores de pared</t>
  </si>
  <si>
    <t>Ventiladores de pedestal</t>
  </si>
  <si>
    <t>Microondas</t>
  </si>
  <si>
    <t>Tostadoras</t>
  </si>
  <si>
    <t>Lavadordas</t>
  </si>
  <si>
    <t>Cocinas</t>
  </si>
  <si>
    <t>Refrigeradoras de 12 pies</t>
  </si>
  <si>
    <t>Secadoras</t>
  </si>
  <si>
    <t>Juego de sala 3-2-1</t>
  </si>
  <si>
    <t>Juego de comedor para 6 personas</t>
  </si>
  <si>
    <t xml:space="preserve">Juego de comedor para 4 personas </t>
  </si>
  <si>
    <t xml:space="preserve">Refrigeradoras de 9 pies </t>
  </si>
  <si>
    <t>TOTAL</t>
  </si>
  <si>
    <t>TOTAL IMPUESTOS A PAGAR</t>
  </si>
  <si>
    <t>Utilidad</t>
  </si>
  <si>
    <t xml:space="preserve">Total de gastos mensuales obtenido del presupuesto de gastos </t>
  </si>
  <si>
    <t>Proyección de ventas mensuales para hacer auto-sostenible a la empresa, La única</t>
  </si>
  <si>
    <t>Total impuestos a pagar</t>
  </si>
  <si>
    <t>Precio de Venta en unidades proyectadas</t>
  </si>
  <si>
    <t>Costo de Compra en unidades proyectadas</t>
  </si>
  <si>
    <t>TOTAL GASTOS MENSUALES</t>
  </si>
  <si>
    <t>Margen de Utilidad mensual</t>
  </si>
  <si>
    <t xml:space="preserve"> IVA A PAGAR = (IVA VENTAS - IVA COMPRAS)</t>
  </si>
  <si>
    <t xml:space="preserve">TOTAL IVA COMPRAS 13% DE LAS COMPRAS </t>
  </si>
  <si>
    <t>TOTAL IVA VENTAS 13% DE LAS VENTAS</t>
  </si>
  <si>
    <t>+ PAGO A CUENTA 1.75% DE LAS VENTAS</t>
  </si>
  <si>
    <t>- Total gastos mensuales incluyendo impuestos</t>
  </si>
  <si>
    <t>NOTA:     La utilidad proyectada tiene que generar el margen necesario para cubrir los gastos mensuales de la empresa y que esta sea autosostenible</t>
  </si>
  <si>
    <t>Margen de utilidad  mensual en unidades proyectadas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</si>
</sst>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2" fillId="0" borderId="1" xfId="0" applyFont="1" applyBorder="1"/>
    <xf numFmtId="44" fontId="0" fillId="0" borderId="0" xfId="1" applyFont="1" applyBorder="1"/>
    <xf numFmtId="44" fontId="1" fillId="3" borderId="1" xfId="1" applyFont="1" applyFill="1" applyBorder="1"/>
    <xf numFmtId="0" fontId="2" fillId="0" borderId="1" xfId="0" applyFont="1" applyBorder="1" applyAlignment="1">
      <alignment horizontal="center" wrapText="1"/>
    </xf>
    <xf numFmtId="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/>
    </xf>
    <xf numFmtId="44" fontId="0" fillId="0" borderId="0" xfId="1" applyFont="1" applyBorder="1" applyAlignment="1">
      <alignment horizontal="right"/>
    </xf>
    <xf numFmtId="44" fontId="0" fillId="0" borderId="0" xfId="0" applyNumberFormat="1"/>
    <xf numFmtId="44" fontId="0" fillId="3" borderId="0" xfId="0" applyNumberForma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44" fontId="4" fillId="3" borderId="1" xfId="1" applyFont="1" applyFill="1" applyBorder="1"/>
    <xf numFmtId="44" fontId="2" fillId="3" borderId="0" xfId="1" applyFont="1" applyFill="1" applyBorder="1"/>
    <xf numFmtId="0" fontId="0" fillId="0" borderId="6" xfId="0" applyBorder="1"/>
    <xf numFmtId="0" fontId="2" fillId="4" borderId="1" xfId="0" applyFont="1" applyFill="1" applyBorder="1" applyAlignment="1">
      <alignment horizontal="center"/>
    </xf>
    <xf numFmtId="44" fontId="0" fillId="4" borderId="1" xfId="1" applyFont="1" applyFill="1" applyBorder="1"/>
    <xf numFmtId="44" fontId="1" fillId="4" borderId="1" xfId="1" applyFont="1" applyFill="1" applyBorder="1"/>
    <xf numFmtId="44" fontId="1" fillId="2" borderId="1" xfId="1" applyFont="1" applyFill="1" applyBorder="1"/>
    <xf numFmtId="44" fontId="1" fillId="3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0" borderId="4" xfId="0" applyFont="1" applyBorder="1" applyAlignment="1">
      <alignment horizontal="center" vertical="top"/>
    </xf>
    <xf numFmtId="49" fontId="0" fillId="3" borderId="1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49" fontId="0" fillId="3" borderId="2" xfId="0" applyNumberFormat="1" applyFill="1" applyBorder="1" applyAlignment="1">
      <alignment horizontal="left"/>
    </xf>
    <xf numFmtId="49" fontId="0" fillId="3" borderId="5" xfId="0" applyNumberFormat="1" applyFill="1" applyBorder="1" applyAlignment="1">
      <alignment horizontal="left"/>
    </xf>
    <xf numFmtId="49" fontId="0" fillId="3" borderId="3" xfId="0" applyNumberForma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center"/>
    </xf>
    <xf numFmtId="49" fontId="0" fillId="3" borderId="0" xfId="0" applyNumberFormat="1" applyFill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6699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2937-F728-4B0C-94D1-8B7AEBE2A37C}">
  <dimension ref="A1:L38"/>
  <sheetViews>
    <sheetView tabSelected="1" zoomScale="120" zoomScaleNormal="120" workbookViewId="0">
      <selection activeCell="A10" sqref="A10"/>
    </sheetView>
  </sheetViews>
  <sheetFormatPr baseColWidth="10" defaultRowHeight="14.4" x14ac:dyDescent="0.3"/>
  <cols>
    <col min="1" max="1" width="35.33203125" customWidth="1"/>
    <col min="2" max="2" width="15.33203125" customWidth="1"/>
    <col min="3" max="3" width="14.6640625" customWidth="1"/>
    <col min="4" max="4" width="13.33203125" bestFit="1" customWidth="1"/>
    <col min="5" max="5" width="17.109375" customWidth="1"/>
    <col min="6" max="6" width="17.77734375" customWidth="1"/>
    <col min="7" max="7" width="19.109375" customWidth="1"/>
    <col min="8" max="8" width="15.109375" customWidth="1"/>
    <col min="9" max="9" width="9" bestFit="1" customWidth="1"/>
    <col min="11" max="11" width="9.6640625" customWidth="1"/>
    <col min="12" max="12" width="11.44140625" hidden="1" customWidth="1"/>
  </cols>
  <sheetData>
    <row r="1" spans="1:8" ht="35.25" customHeight="1" x14ac:dyDescent="0.3">
      <c r="A1" s="25" t="s">
        <v>23</v>
      </c>
      <c r="B1" s="25"/>
      <c r="C1" s="25"/>
      <c r="D1" s="25"/>
      <c r="E1" s="25"/>
      <c r="F1" s="25"/>
      <c r="G1" s="41"/>
      <c r="H1" s="41"/>
    </row>
    <row r="2" spans="1:8" ht="77.25" customHeight="1" x14ac:dyDescent="0.3">
      <c r="A2" s="3" t="s">
        <v>0</v>
      </c>
      <c r="B2" s="6" t="s">
        <v>1</v>
      </c>
      <c r="C2" s="6" t="s">
        <v>2</v>
      </c>
      <c r="D2" s="6" t="s">
        <v>25</v>
      </c>
      <c r="E2" s="6" t="s">
        <v>35</v>
      </c>
      <c r="F2" s="6" t="s">
        <v>26</v>
      </c>
      <c r="G2" s="18"/>
    </row>
    <row r="3" spans="1:8" ht="18" customHeight="1" x14ac:dyDescent="0.3">
      <c r="A3" s="1" t="s">
        <v>3</v>
      </c>
      <c r="B3" s="2">
        <v>25</v>
      </c>
      <c r="C3" s="7">
        <v>45</v>
      </c>
      <c r="D3" s="2">
        <f>B3*C3</f>
        <v>1125</v>
      </c>
      <c r="E3" s="2">
        <f>D3*0.35</f>
        <v>393.75</v>
      </c>
      <c r="F3" s="2">
        <f>D3-E3</f>
        <v>731.25</v>
      </c>
    </row>
    <row r="4" spans="1:8" ht="18" customHeight="1" x14ac:dyDescent="0.3">
      <c r="A4" s="1" t="s">
        <v>4</v>
      </c>
      <c r="B4" s="2">
        <v>175</v>
      </c>
      <c r="C4" s="7">
        <v>40</v>
      </c>
      <c r="D4" s="2">
        <f t="shared" ref="D4:D18" si="0">B4*C4</f>
        <v>7000</v>
      </c>
      <c r="E4" s="2">
        <f t="shared" ref="E4:E18" si="1">D4*0.35</f>
        <v>2450</v>
      </c>
      <c r="F4" s="2">
        <f t="shared" ref="F4:F19" si="2">D4-E4</f>
        <v>4550</v>
      </c>
    </row>
    <row r="5" spans="1:8" ht="18" customHeight="1" x14ac:dyDescent="0.3">
      <c r="A5" s="1" t="s">
        <v>5</v>
      </c>
      <c r="B5" s="2">
        <v>350</v>
      </c>
      <c r="C5" s="7">
        <v>40</v>
      </c>
      <c r="D5" s="2">
        <f t="shared" si="0"/>
        <v>14000</v>
      </c>
      <c r="E5" s="2">
        <f t="shared" si="1"/>
        <v>4900</v>
      </c>
      <c r="F5" s="2">
        <f t="shared" si="2"/>
        <v>9100</v>
      </c>
    </row>
    <row r="6" spans="1:8" ht="18" customHeight="1" x14ac:dyDescent="0.3">
      <c r="A6" s="1" t="s">
        <v>6</v>
      </c>
      <c r="B6" s="2">
        <v>400</v>
      </c>
      <c r="C6" s="7">
        <v>50</v>
      </c>
      <c r="D6" s="2">
        <f t="shared" si="0"/>
        <v>20000</v>
      </c>
      <c r="E6" s="2">
        <f t="shared" si="1"/>
        <v>7000</v>
      </c>
      <c r="F6" s="2">
        <f t="shared" si="2"/>
        <v>13000</v>
      </c>
    </row>
    <row r="7" spans="1:8" ht="18" customHeight="1" x14ac:dyDescent="0.3">
      <c r="A7" s="1" t="s">
        <v>7</v>
      </c>
      <c r="B7" s="2">
        <v>40</v>
      </c>
      <c r="C7" s="7">
        <v>44</v>
      </c>
      <c r="D7" s="2">
        <f t="shared" si="0"/>
        <v>1760</v>
      </c>
      <c r="E7" s="2">
        <f t="shared" si="1"/>
        <v>616</v>
      </c>
      <c r="F7" s="2">
        <f t="shared" si="2"/>
        <v>1144</v>
      </c>
    </row>
    <row r="8" spans="1:8" ht="18" customHeight="1" x14ac:dyDescent="0.3">
      <c r="A8" s="1" t="s">
        <v>8</v>
      </c>
      <c r="B8" s="2">
        <v>45</v>
      </c>
      <c r="C8" s="7">
        <v>65</v>
      </c>
      <c r="D8" s="2">
        <f t="shared" si="0"/>
        <v>2925</v>
      </c>
      <c r="E8" s="2">
        <f t="shared" si="1"/>
        <v>1023.7499999999999</v>
      </c>
      <c r="F8" s="2">
        <f t="shared" si="2"/>
        <v>1901.25</v>
      </c>
    </row>
    <row r="9" spans="1:8" ht="18" customHeight="1" x14ac:dyDescent="0.3">
      <c r="A9" s="1" t="s">
        <v>9</v>
      </c>
      <c r="B9" s="2">
        <v>125</v>
      </c>
      <c r="C9" s="7">
        <v>38</v>
      </c>
      <c r="D9" s="2">
        <f t="shared" si="0"/>
        <v>4750</v>
      </c>
      <c r="E9" s="2">
        <f t="shared" si="1"/>
        <v>1662.5</v>
      </c>
      <c r="F9" s="2">
        <f t="shared" si="2"/>
        <v>3087.5</v>
      </c>
    </row>
    <row r="10" spans="1:8" ht="18" customHeight="1" x14ac:dyDescent="0.3">
      <c r="A10" s="1" t="s">
        <v>10</v>
      </c>
      <c r="B10" s="2">
        <v>50</v>
      </c>
      <c r="C10" s="7">
        <v>45</v>
      </c>
      <c r="D10" s="2">
        <f t="shared" si="0"/>
        <v>2250</v>
      </c>
      <c r="E10" s="2">
        <f t="shared" si="1"/>
        <v>787.5</v>
      </c>
      <c r="F10" s="2">
        <f t="shared" si="2"/>
        <v>1462.5</v>
      </c>
    </row>
    <row r="11" spans="1:8" ht="18" customHeight="1" x14ac:dyDescent="0.3">
      <c r="A11" s="1" t="s">
        <v>11</v>
      </c>
      <c r="B11" s="2">
        <v>475</v>
      </c>
      <c r="C11" s="7">
        <v>32</v>
      </c>
      <c r="D11" s="2">
        <f t="shared" si="0"/>
        <v>15200</v>
      </c>
      <c r="E11" s="2">
        <f t="shared" si="1"/>
        <v>5320</v>
      </c>
      <c r="F11" s="2">
        <f t="shared" si="2"/>
        <v>9880</v>
      </c>
    </row>
    <row r="12" spans="1:8" ht="18" customHeight="1" x14ac:dyDescent="0.3">
      <c r="A12" s="8" t="s">
        <v>12</v>
      </c>
      <c r="B12" s="2">
        <v>375</v>
      </c>
      <c r="C12" s="7">
        <v>42</v>
      </c>
      <c r="D12" s="2">
        <f t="shared" si="0"/>
        <v>15750</v>
      </c>
      <c r="E12" s="2">
        <f t="shared" si="1"/>
        <v>5512.5</v>
      </c>
      <c r="F12" s="2">
        <f t="shared" si="2"/>
        <v>10237.5</v>
      </c>
    </row>
    <row r="13" spans="1:8" ht="18" customHeight="1" x14ac:dyDescent="0.3">
      <c r="A13" s="8" t="s">
        <v>13</v>
      </c>
      <c r="B13" s="2">
        <v>800</v>
      </c>
      <c r="C13" s="7">
        <v>32</v>
      </c>
      <c r="D13" s="2">
        <f t="shared" si="0"/>
        <v>25600</v>
      </c>
      <c r="E13" s="2">
        <f t="shared" si="1"/>
        <v>8960</v>
      </c>
      <c r="F13" s="2">
        <f t="shared" si="2"/>
        <v>16640</v>
      </c>
    </row>
    <row r="14" spans="1:8" ht="18" customHeight="1" x14ac:dyDescent="0.3">
      <c r="A14" s="8" t="s">
        <v>14</v>
      </c>
      <c r="B14" s="2">
        <v>480</v>
      </c>
      <c r="C14" s="7">
        <v>41</v>
      </c>
      <c r="D14" s="2">
        <f t="shared" si="0"/>
        <v>19680</v>
      </c>
      <c r="E14" s="2">
        <f t="shared" si="1"/>
        <v>6888</v>
      </c>
      <c r="F14" s="2">
        <f t="shared" si="2"/>
        <v>12792</v>
      </c>
    </row>
    <row r="15" spans="1:8" ht="18" customHeight="1" x14ac:dyDescent="0.3">
      <c r="A15" s="8" t="s">
        <v>15</v>
      </c>
      <c r="B15" s="2">
        <v>800</v>
      </c>
      <c r="C15" s="7">
        <v>32</v>
      </c>
      <c r="D15" s="2">
        <f t="shared" si="0"/>
        <v>25600</v>
      </c>
      <c r="E15" s="2">
        <f t="shared" si="1"/>
        <v>8960</v>
      </c>
      <c r="F15" s="2">
        <f t="shared" si="2"/>
        <v>16640</v>
      </c>
    </row>
    <row r="16" spans="1:8" ht="18" customHeight="1" x14ac:dyDescent="0.3">
      <c r="A16" s="8" t="s">
        <v>16</v>
      </c>
      <c r="B16" s="2">
        <v>450</v>
      </c>
      <c r="C16" s="7">
        <v>25</v>
      </c>
      <c r="D16" s="2">
        <f t="shared" si="0"/>
        <v>11250</v>
      </c>
      <c r="E16" s="2">
        <f t="shared" si="1"/>
        <v>3937.4999999999995</v>
      </c>
      <c r="F16" s="2">
        <f t="shared" si="2"/>
        <v>7312.5</v>
      </c>
    </row>
    <row r="17" spans="1:9" ht="18" customHeight="1" x14ac:dyDescent="0.3">
      <c r="A17" s="8" t="s">
        <v>17</v>
      </c>
      <c r="B17" s="2">
        <v>350</v>
      </c>
      <c r="C17" s="7">
        <v>24</v>
      </c>
      <c r="D17" s="2">
        <f t="shared" si="0"/>
        <v>8400</v>
      </c>
      <c r="E17" s="2">
        <f t="shared" si="1"/>
        <v>2940</v>
      </c>
      <c r="F17" s="2">
        <f t="shared" si="2"/>
        <v>5460</v>
      </c>
    </row>
    <row r="18" spans="1:9" ht="18" customHeight="1" x14ac:dyDescent="0.3">
      <c r="A18" s="8" t="s">
        <v>18</v>
      </c>
      <c r="B18" s="2">
        <v>600</v>
      </c>
      <c r="C18" s="7">
        <v>30</v>
      </c>
      <c r="D18" s="2">
        <f t="shared" si="0"/>
        <v>18000</v>
      </c>
      <c r="E18" s="2">
        <f t="shared" si="1"/>
        <v>6300</v>
      </c>
      <c r="F18" s="2">
        <f t="shared" si="2"/>
        <v>11700</v>
      </c>
    </row>
    <row r="19" spans="1:9" ht="18" customHeight="1" x14ac:dyDescent="0.3">
      <c r="A19" s="19" t="s">
        <v>19</v>
      </c>
      <c r="B19" s="20"/>
      <c r="C19" s="20"/>
      <c r="D19" s="20">
        <f>SUM(D3:D18)</f>
        <v>193290</v>
      </c>
      <c r="E19" s="20">
        <f>SUM(E3:E18)</f>
        <v>67651.5</v>
      </c>
      <c r="F19" s="20">
        <f t="shared" si="2"/>
        <v>125638.5</v>
      </c>
    </row>
    <row r="20" spans="1:9" ht="21.6" customHeight="1" x14ac:dyDescent="0.3">
      <c r="A20" s="9"/>
      <c r="B20" s="4"/>
      <c r="C20" s="4"/>
      <c r="D20" s="4">
        <f>D19*0.13</f>
        <v>25127.7</v>
      </c>
      <c r="E20" s="10">
        <f>E19*0.13</f>
        <v>8794.6949999999997</v>
      </c>
      <c r="F20" s="4">
        <f>F19*0.13</f>
        <v>16333.005000000001</v>
      </c>
      <c r="G20" s="4"/>
      <c r="H20" s="4"/>
      <c r="I20" s="11"/>
    </row>
    <row r="21" spans="1:9" ht="18" customHeight="1" x14ac:dyDescent="0.3">
      <c r="A21" s="34"/>
      <c r="B21" s="34"/>
      <c r="C21" s="17"/>
      <c r="D21" s="13"/>
      <c r="E21" s="35" t="s">
        <v>22</v>
      </c>
      <c r="F21" s="35"/>
      <c r="G21" s="35"/>
      <c r="H21" s="5">
        <v>50000</v>
      </c>
      <c r="I21" s="11"/>
    </row>
    <row r="22" spans="1:9" ht="18" customHeight="1" x14ac:dyDescent="0.3">
      <c r="A22" s="36"/>
      <c r="B22" s="36"/>
      <c r="C22" s="17"/>
      <c r="D22" s="13"/>
      <c r="E22" s="27" t="s">
        <v>24</v>
      </c>
      <c r="F22" s="28"/>
      <c r="G22" s="29"/>
      <c r="H22" s="16">
        <f>C27</f>
        <v>12177.27</v>
      </c>
    </row>
    <row r="23" spans="1:9" ht="18" customHeight="1" x14ac:dyDescent="0.3">
      <c r="A23" s="26" t="s">
        <v>30</v>
      </c>
      <c r="B23" s="26"/>
      <c r="C23" s="5">
        <f>F20</f>
        <v>16333.005000000001</v>
      </c>
      <c r="D23" s="13"/>
      <c r="E23" s="37" t="s">
        <v>27</v>
      </c>
      <c r="F23" s="38"/>
      <c r="G23" s="39"/>
      <c r="H23" s="23">
        <f>SUM(H21:H22)</f>
        <v>62177.270000000004</v>
      </c>
    </row>
    <row r="24" spans="1:9" ht="18" customHeight="1" x14ac:dyDescent="0.3">
      <c r="A24" s="26" t="s">
        <v>31</v>
      </c>
      <c r="B24" s="26"/>
      <c r="C24" s="5">
        <f>D20</f>
        <v>25127.7</v>
      </c>
      <c r="D24" s="13"/>
      <c r="E24" s="14"/>
      <c r="F24" s="14"/>
      <c r="H24" s="24"/>
    </row>
    <row r="25" spans="1:9" ht="18" customHeight="1" x14ac:dyDescent="0.3">
      <c r="A25" s="26" t="s">
        <v>29</v>
      </c>
      <c r="B25" s="26"/>
      <c r="C25" s="21">
        <f>C24-C23</f>
        <v>8794.6949999999997</v>
      </c>
      <c r="D25" s="12"/>
      <c r="E25" s="27" t="s">
        <v>28</v>
      </c>
      <c r="F25" s="28"/>
      <c r="G25" s="29"/>
      <c r="H25" s="5">
        <f>E19</f>
        <v>67651.5</v>
      </c>
    </row>
    <row r="26" spans="1:9" ht="18" customHeight="1" x14ac:dyDescent="0.3">
      <c r="A26" s="26" t="s">
        <v>32</v>
      </c>
      <c r="B26" s="26"/>
      <c r="C26" s="21">
        <f>D19*0.0175</f>
        <v>3382.5750000000003</v>
      </c>
      <c r="D26" s="12"/>
      <c r="E26" s="30" t="s">
        <v>33</v>
      </c>
      <c r="F26" s="31"/>
      <c r="G26" s="32"/>
      <c r="H26" s="5">
        <f>H23</f>
        <v>62177.270000000004</v>
      </c>
    </row>
    <row r="27" spans="1:9" ht="18" customHeight="1" x14ac:dyDescent="0.3">
      <c r="A27" s="26" t="s">
        <v>20</v>
      </c>
      <c r="B27" s="26"/>
      <c r="C27" s="22">
        <f>SUM(C25:C26)</f>
        <v>12177.27</v>
      </c>
      <c r="D27" s="13"/>
      <c r="E27" s="33" t="s">
        <v>21</v>
      </c>
      <c r="F27" s="33"/>
      <c r="G27" s="33"/>
      <c r="H27" s="5">
        <f>H25-H26</f>
        <v>5474.2299999999959</v>
      </c>
    </row>
    <row r="28" spans="1:9" x14ac:dyDescent="0.3">
      <c r="A28" s="13"/>
      <c r="B28" s="13"/>
      <c r="C28" s="12"/>
      <c r="D28" s="13"/>
    </row>
    <row r="29" spans="1:9" ht="18.600000000000001" customHeight="1" x14ac:dyDescent="0.3">
      <c r="A29" s="40" t="s">
        <v>34</v>
      </c>
      <c r="B29" s="40"/>
      <c r="C29" s="40"/>
      <c r="D29" s="40"/>
      <c r="E29" s="40"/>
      <c r="F29" s="40"/>
      <c r="G29" s="40"/>
      <c r="H29" s="40"/>
    </row>
    <row r="30" spans="1:9" x14ac:dyDescent="0.3">
      <c r="E30" s="13"/>
      <c r="F30" s="13"/>
      <c r="G30" s="13"/>
      <c r="H30" s="13"/>
    </row>
    <row r="31" spans="1:9" x14ac:dyDescent="0.3">
      <c r="D31" s="15"/>
      <c r="E31" s="13"/>
      <c r="F31" s="13"/>
      <c r="G31" s="13"/>
      <c r="H31" s="13"/>
    </row>
    <row r="32" spans="1:9" x14ac:dyDescent="0.3">
      <c r="D32" s="15"/>
      <c r="E32" s="13"/>
      <c r="F32" s="13"/>
      <c r="G32" s="13"/>
      <c r="H32" s="13"/>
    </row>
    <row r="33" spans="1:8" x14ac:dyDescent="0.3">
      <c r="D33" s="15"/>
      <c r="E33" s="13"/>
      <c r="F33" s="13"/>
      <c r="G33" s="13"/>
      <c r="H33" s="13"/>
    </row>
    <row r="34" spans="1:8" x14ac:dyDescent="0.3">
      <c r="D34" s="15"/>
      <c r="E34" s="13"/>
      <c r="F34" s="13"/>
      <c r="G34" s="13"/>
      <c r="H34" s="13"/>
    </row>
    <row r="35" spans="1:8" x14ac:dyDescent="0.3">
      <c r="A35" s="13"/>
      <c r="B35" s="13"/>
      <c r="C35" s="13"/>
      <c r="D35" s="13"/>
      <c r="E35" s="13"/>
      <c r="F35" s="13"/>
      <c r="G35" s="13"/>
      <c r="H35" s="13"/>
    </row>
    <row r="36" spans="1:8" x14ac:dyDescent="0.3">
      <c r="A36" s="13"/>
      <c r="B36" s="13"/>
      <c r="C36" s="13"/>
      <c r="D36" s="13"/>
      <c r="E36" s="13"/>
      <c r="F36" s="13"/>
      <c r="G36" s="13"/>
      <c r="H36" s="13"/>
    </row>
    <row r="37" spans="1:8" ht="18" customHeight="1" x14ac:dyDescent="0.3"/>
    <row r="38" spans="1:8" ht="18" customHeight="1" x14ac:dyDescent="0.3"/>
  </sheetData>
  <mergeCells count="15">
    <mergeCell ref="A29:H29"/>
    <mergeCell ref="A24:B24"/>
    <mergeCell ref="A25:B25"/>
    <mergeCell ref="E25:G25"/>
    <mergeCell ref="A26:B26"/>
    <mergeCell ref="E26:G26"/>
    <mergeCell ref="A27:B27"/>
    <mergeCell ref="E27:G27"/>
    <mergeCell ref="A23:B23"/>
    <mergeCell ref="E23:G23"/>
    <mergeCell ref="A1:H1"/>
    <mergeCell ref="A21:B21"/>
    <mergeCell ref="E21:G21"/>
    <mergeCell ref="A22:B22"/>
    <mergeCell ref="E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UFG</dc:creator>
  <cp:lastModifiedBy>Desktop</cp:lastModifiedBy>
  <cp:lastPrinted>2026-04-27T20:14:56Z</cp:lastPrinted>
  <dcterms:created xsi:type="dcterms:W3CDTF">2025-04-30T20:10:48Z</dcterms:created>
  <dcterms:modified xsi:type="dcterms:W3CDTF">2026-04-28T18:15:12Z</dcterms:modified>
</cp:coreProperties>
</file>